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G61595\Desktop\"/>
    </mc:Choice>
  </mc:AlternateContent>
  <xr:revisionPtr revIDLastSave="0" documentId="8_{5F6C7982-E319-4A9D-BEA5-FBB21C70338B}" xr6:coauthVersionLast="47" xr6:coauthVersionMax="47" xr10:uidLastSave="{00000000-0000-0000-0000-000000000000}"/>
  <bookViews>
    <workbookView xWindow="-120" yWindow="-120" windowWidth="29040" windowHeight="17520" activeTab="1" xr2:uid="{6831BFCA-9D09-46BD-9796-3B63238D5CBA}"/>
  </bookViews>
  <sheets>
    <sheet name="integration Usine" sheetId="1" r:id="rId1"/>
    <sheet name="Feuil3" sheetId="5" r:id="rId2"/>
    <sheet name="Feuil2" sheetId="4" r:id="rId3"/>
    <sheet name="Feuil1" sheetId="3" r:id="rId4"/>
    <sheet name="En formation IFMIA" sheetId="2" r:id="rId5"/>
  </sheets>
  <definedNames>
    <definedName name="_xlnm._FilterDatabase" localSheetId="0" hidden="1">'integration Usine'!$B$1:$E$105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5" l="1"/>
  <c r="D7" i="5"/>
  <c r="D8" i="5" s="1"/>
  <c r="C7" i="5"/>
  <c r="C8" i="5" s="1"/>
  <c r="D4" i="5"/>
  <c r="D5" i="5" s="1"/>
  <c r="C4" i="5"/>
  <c r="C5" i="5" s="1"/>
  <c r="D13" i="5" l="1"/>
  <c r="C13" i="5"/>
  <c r="C12" i="5"/>
</calcChain>
</file>

<file path=xl/sharedStrings.xml><?xml version="1.0" encoding="utf-8"?>
<sst xmlns="http://schemas.openxmlformats.org/spreadsheetml/2006/main" count="235" uniqueCount="55">
  <si>
    <t xml:space="preserve">Département </t>
  </si>
  <si>
    <t xml:space="preserve">Effectifs </t>
  </si>
  <si>
    <t>Date arrivees USINE</t>
  </si>
  <si>
    <t>date de début Contrat</t>
  </si>
  <si>
    <t>QCP</t>
  </si>
  <si>
    <t>FER</t>
  </si>
  <si>
    <t>MON</t>
  </si>
  <si>
    <t>CPL</t>
  </si>
  <si>
    <t>PEI</t>
  </si>
  <si>
    <t>MOT</t>
  </si>
  <si>
    <t>O2X</t>
  </si>
  <si>
    <t>OUI</t>
  </si>
  <si>
    <t>F2M</t>
  </si>
  <si>
    <t>EMB</t>
  </si>
  <si>
    <t>Non</t>
  </si>
  <si>
    <t>NON</t>
  </si>
  <si>
    <t>Make batterie</t>
  </si>
  <si>
    <t>MOT APRRENTIS</t>
  </si>
  <si>
    <t>UTEE APPRENTIS</t>
  </si>
  <si>
    <t>Des arrivees IFMIA</t>
  </si>
  <si>
    <t>Date Integration Usine</t>
  </si>
  <si>
    <t>Date Integration IFMIA</t>
  </si>
  <si>
    <t>UR</t>
  </si>
  <si>
    <t>BC</t>
  </si>
  <si>
    <t>Des arrivees Non diplomés</t>
  </si>
  <si>
    <t>Prévue 07/08</t>
  </si>
  <si>
    <t>Des Arrivees IFMIA Prevue le 11/08</t>
  </si>
  <si>
    <t>EMB APPRENTIS</t>
  </si>
  <si>
    <t xml:space="preserve">S30 </t>
  </si>
  <si>
    <t>S31</t>
  </si>
  <si>
    <t>S32</t>
  </si>
  <si>
    <t xml:space="preserve">Nombre d'entrer usine par semaine </t>
  </si>
  <si>
    <t xml:space="preserve">Total mois </t>
  </si>
  <si>
    <t xml:space="preserve">filtre par S </t>
  </si>
  <si>
    <t xml:space="preserve">Type </t>
  </si>
  <si>
    <t>Intégration avant clôture</t>
  </si>
  <si>
    <t>Encours de formation</t>
  </si>
  <si>
    <t xml:space="preserve">Détails </t>
  </si>
  <si>
    <t>S30</t>
  </si>
  <si>
    <t>S33</t>
  </si>
  <si>
    <t>S34</t>
  </si>
  <si>
    <t>S35</t>
  </si>
  <si>
    <t>S36</t>
  </si>
  <si>
    <t>S37</t>
  </si>
  <si>
    <t>S38</t>
  </si>
  <si>
    <t>S39</t>
  </si>
  <si>
    <t>S40</t>
  </si>
  <si>
    <t xml:space="preserve">Ferrage  </t>
  </si>
  <si>
    <t xml:space="preserve">Estimation </t>
  </si>
  <si>
    <t xml:space="preserve">Réel </t>
  </si>
  <si>
    <t xml:space="preserve">Ecart </t>
  </si>
  <si>
    <t xml:space="preserve">Montage </t>
  </si>
  <si>
    <t xml:space="preserve">Peinture </t>
  </si>
  <si>
    <t xml:space="preserve">Total 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</si>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</sst>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Calibri"/>
      <family val="2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16" fontId="3" fillId="3" borderId="6" xfId="0" applyNumberFormat="1" applyFont="1" applyFill="1" applyBorder="1" applyAlignment="1">
      <alignment horizontal="center" vertical="center"/>
    </xf>
    <xf numFmtId="16" fontId="3" fillId="4" borderId="6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/>
    </xf>
    <xf numFmtId="0" fontId="0" fillId="4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 wrapText="1"/>
    </xf>
    <xf numFmtId="14" fontId="2" fillId="2" borderId="4" xfId="0" applyNumberFormat="1" applyFont="1" applyFill="1" applyBorder="1" applyAlignment="1">
      <alignment horizontal="center" vertical="center"/>
    </xf>
    <xf numFmtId="14" fontId="3" fillId="3" borderId="8" xfId="0" applyNumberFormat="1" applyFon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14" fontId="3" fillId="3" borderId="6" xfId="0" applyNumberFormat="1" applyFont="1" applyFill="1" applyBorder="1" applyAlignment="1">
      <alignment horizontal="center" vertical="center"/>
    </xf>
    <xf numFmtId="14" fontId="3" fillId="4" borderId="6" xfId="0" applyNumberFormat="1" applyFont="1" applyFill="1" applyBorder="1" applyAlignment="1">
      <alignment horizontal="center" vertical="center"/>
    </xf>
    <xf numFmtId="14" fontId="0" fillId="4" borderId="6" xfId="0" applyNumberForma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2" fillId="2" borderId="3" xfId="0" applyNumberFormat="1" applyFont="1" applyFill="1" applyBorder="1" applyAlignment="1">
      <alignment horizontal="center" vertical="center"/>
    </xf>
    <xf numFmtId="14" fontId="3" fillId="3" borderId="7" xfId="0" applyNumberFormat="1" applyFont="1" applyFill="1" applyBorder="1" applyAlignment="1">
      <alignment horizontal="center" vertical="center"/>
    </xf>
    <xf numFmtId="14" fontId="0" fillId="4" borderId="6" xfId="0" applyNumberFormat="1" applyFill="1" applyBorder="1" applyAlignment="1">
      <alignment horizontal="center"/>
    </xf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0" xfId="0" applyFill="1"/>
    <xf numFmtId="0" fontId="7" fillId="0" borderId="1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6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0" fontId="0" fillId="7" borderId="6" xfId="0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wrapText="1"/>
    </xf>
    <xf numFmtId="0" fontId="0" fillId="8" borderId="6" xfId="0" applyFill="1" applyBorder="1" applyAlignment="1">
      <alignment horizontal="center" wrapText="1"/>
    </xf>
    <xf numFmtId="0" fontId="0" fillId="8" borderId="6" xfId="0" applyFill="1" applyBorder="1" applyAlignment="1">
      <alignment horizontal="center" vertical="center" wrapText="1"/>
    </xf>
    <xf numFmtId="0" fontId="6" fillId="9" borderId="6" xfId="0" applyFont="1" applyFill="1" applyBorder="1" applyAlignment="1">
      <alignment horizontal="center" wrapText="1"/>
    </xf>
    <xf numFmtId="0" fontId="0" fillId="9" borderId="6" xfId="0" applyFill="1" applyBorder="1" applyAlignment="1">
      <alignment horizontal="center" wrapText="1"/>
    </xf>
    <xf numFmtId="0" fontId="0" fillId="9" borderId="6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523875</xdr:colOff>
      <xdr:row>0</xdr:row>
      <xdr:rowOff>161925</xdr:rowOff>
    </xdr:from>
    <xdr:to>
      <xdr:col>8</xdr:col>
      <xdr:colOff>428625</xdr:colOff>
      <xdr:row>3</xdr:row>
      <xdr:rowOff>180975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26D7C53-E602-51AC-4694-3CB2B11F4574}"/>
            </a:ext>
          </a:extLst>
        </xdr:cNvPr>
        <xdr:cNvSpPr/>
      </xdr:nvSpPr>
      <xdr:spPr>
        <a:xfrm>
          <a:off x="3571875" y="161925"/>
          <a:ext cx="2952750" cy="5905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Nombre</a:t>
          </a:r>
          <a:r>
            <a:rPr lang="fr-FR" sz="1100" baseline="0"/>
            <a:t> d'arriver cette semaine </a:t>
          </a:r>
          <a:endParaRPr lang="fr-FR" sz="1100"/>
        </a:p>
      </xdr:txBody>
    </xdr:sp>
    <xdr:clientData/>
  </xdr:twoCellAnchor>
  <xdr:twoCellAnchor>
    <xdr:from>
      <xdr:col>8</xdr:col>
      <xdr:colOff>657225</xdr:colOff>
      <xdr:row>0</xdr:row>
      <xdr:rowOff>161925</xdr:rowOff>
    </xdr:from>
    <xdr:to>
      <xdr:col>12</xdr:col>
      <xdr:colOff>561975</xdr:colOff>
      <xdr:row>4</xdr:row>
      <xdr:rowOff>104775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1AD0C1F-FF0D-4834-B8A0-5EF43F9CA24A}"/>
            </a:ext>
          </a:extLst>
        </xdr:cNvPr>
        <xdr:cNvSpPr/>
      </xdr:nvSpPr>
      <xdr:spPr>
        <a:xfrm>
          <a:off x="6753225" y="161925"/>
          <a:ext cx="2952750" cy="7048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Nombre</a:t>
          </a:r>
          <a:r>
            <a:rPr lang="fr-FR" sz="1100" baseline="0"/>
            <a:t> de personnes encours formation à IFMIA ( diplomés )  </a:t>
          </a:r>
          <a:endParaRPr lang="fr-FR" sz="1100"/>
        </a:p>
      </xdr:txBody>
    </xdr:sp>
    <xdr:clientData/>
  </xdr:twoCellAnchor>
  <xdr:twoCellAnchor>
    <xdr:from>
      <xdr:col>13</xdr:col>
      <xdr:colOff>28575</xdr:colOff>
      <xdr:row>1</xdr:row>
      <xdr:rowOff>38100</xdr:rowOff>
    </xdr:from>
    <xdr:to>
      <xdr:col>16</xdr:col>
      <xdr:colOff>695325</xdr:colOff>
      <xdr:row>4</xdr:row>
      <xdr:rowOff>38100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A256778-AB74-4046-9484-9B32E41E1097}"/>
            </a:ext>
          </a:extLst>
        </xdr:cNvPr>
        <xdr:cNvSpPr/>
      </xdr:nvSpPr>
      <xdr:spPr>
        <a:xfrm>
          <a:off x="9934575" y="228600"/>
          <a:ext cx="2952750" cy="571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Nombre</a:t>
          </a:r>
          <a:r>
            <a:rPr lang="fr-FR" sz="1100" baseline="0"/>
            <a:t> de personnes encours formation non diplomé</a:t>
          </a:r>
          <a:endParaRPr lang="fr-FR" sz="1100"/>
        </a:p>
      </xdr:txBody>
    </xdr:sp>
    <xdr:clientData/>
  </xdr:twoCellAnchor>
  <xdr:twoCellAnchor>
    <xdr:from>
      <xdr:col>17</xdr:col>
      <xdr:colOff>200025</xdr:colOff>
      <xdr:row>0</xdr:row>
      <xdr:rowOff>171450</xdr:rowOff>
    </xdr:from>
    <xdr:to>
      <xdr:col>21</xdr:col>
      <xdr:colOff>104775</xdr:colOff>
      <xdr:row>4</xdr:row>
      <xdr:rowOff>371475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3F29083-DFB7-4F3A-BA55-72A83055EC02}"/>
            </a:ext>
          </a:extLst>
        </xdr:cNvPr>
        <xdr:cNvSpPr/>
      </xdr:nvSpPr>
      <xdr:spPr>
        <a:xfrm>
          <a:off x="13154025" y="171450"/>
          <a:ext cx="2952750" cy="9620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Nombre</a:t>
          </a:r>
          <a:r>
            <a:rPr lang="fr-FR" sz="1100" baseline="0"/>
            <a:t> d'arriver ifmia prevue pour S+1</a:t>
          </a:r>
          <a:endParaRPr lang="fr-FR" sz="1100"/>
        </a:p>
      </xdr:txBody>
    </xdr:sp>
    <xdr:clientData/>
  </xdr:twoCellAnchor>
  <xdr:twoCellAnchor>
    <xdr:from>
      <xdr:col>17</xdr:col>
      <xdr:colOff>247650</xdr:colOff>
      <xdr:row>4</xdr:row>
      <xdr:rowOff>504825</xdr:rowOff>
    </xdr:from>
    <xdr:to>
      <xdr:col>21</xdr:col>
      <xdr:colOff>152400</xdr:colOff>
      <xdr:row>6</xdr:row>
      <xdr:rowOff>19050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8F7C4AC-8CFF-411A-B221-E6C3F7391468}"/>
            </a:ext>
          </a:extLst>
        </xdr:cNvPr>
        <xdr:cNvSpPr/>
      </xdr:nvSpPr>
      <xdr:spPr>
        <a:xfrm>
          <a:off x="13201650" y="1266825"/>
          <a:ext cx="2952750" cy="685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Nombre</a:t>
          </a:r>
          <a:r>
            <a:rPr lang="fr-FR" sz="1100" baseline="0"/>
            <a:t> de personne en habilitation  : nimbre de personne en habilitation </a:t>
          </a:r>
          <a:endParaRPr lang="fr-FR" sz="1100"/>
        </a:p>
      </xdr:txBody>
    </xdr:sp>
    <xdr:clientData/>
  </xdr:twoCellAnchor>
  <xdr:twoCellAnchor>
    <xdr:from>
      <xdr:col>5</xdr:col>
      <xdr:colOff>523875</xdr:colOff>
      <xdr:row>10</xdr:row>
      <xdr:rowOff>114301</xdr:rowOff>
    </xdr:from>
    <xdr:to>
      <xdr:col>17</xdr:col>
      <xdr:colOff>695325</xdr:colOff>
      <xdr:row>15</xdr:row>
      <xdr:rowOff>95251</xdr:rowOff>
    </xdr:to>
    <xdr:sp macro="" textlink="">
      <xdr:nvSpPr>
        <xdr:cNvPr id="9" name="ZoneTexte 8">
          <a:extLst>
            <a:ext uri="{FF2B5EF4-FFF2-40B4-BE49-F238E27FC236}">
              <a16:creationId xmlns:a16="http://schemas.microsoft.com/office/drawing/2014/main" id="{7358DAEB-F926-9DED-1C46-A26BEDD88C0D}"/>
            </a:ext>
          </a:extLst>
        </xdr:cNvPr>
        <xdr:cNvSpPr txBox="1"/>
      </xdr:nvSpPr>
      <xdr:spPr>
        <a:xfrm>
          <a:off x="4333875" y="2809876"/>
          <a:ext cx="9315450" cy="933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2400"/>
            <a:t>Suivez notre avanceent à distance découvrer les statisque</a:t>
          </a:r>
          <a:r>
            <a:rPr lang="fr-FR" sz="2400" baseline="0"/>
            <a:t>s de pres </a:t>
          </a:r>
          <a:endParaRPr lang="fr-FR" sz="2400"/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3474D-ECB9-4232-9E71-146AD68EA4F0}">
  <sheetPr filterMode="1"/>
  <dimension ref="B1:F105"/>
  <sheetViews>
    <sheetView zoomScale="245" workbookViewId="0">
      <selection activeCell="B1" sqref="B1:B84"/>
    </sheetView>
  </sheetViews>
  <sheetFormatPr baseColWidth="10" defaultRowHeight="15" x14ac:dyDescent="0.25"/>
  <cols>
    <col min="1" max="1" width="11.42578125" style="16"/>
    <col min="2" max="2" width="17.28515625" style="16" bestFit="1" customWidth="1"/>
    <col min="3" max="3" width="11.42578125" style="16"/>
    <col min="4" max="4" width="24.28515625" style="26" bestFit="1" customWidth="1"/>
    <col min="5" max="5" width="26.7109375" style="26" bestFit="1" customWidth="1"/>
    <col min="6" max="16384" width="11.42578125" style="16"/>
  </cols>
  <sheetData>
    <row r="1" spans="2:6" ht="18.75" x14ac:dyDescent="0.25">
      <c r="B1" s="1" t="s">
        <v>0</v>
      </c>
      <c r="C1" s="2" t="s">
        <v>1</v>
      </c>
      <c r="D1" s="27" t="s">
        <v>2</v>
      </c>
      <c r="E1" s="18" t="s">
        <v>3</v>
      </c>
    </row>
    <row r="2" spans="2:6" ht="15.75" hidden="1" x14ac:dyDescent="0.25">
      <c r="B2" s="3" t="s">
        <v>4</v>
      </c>
      <c r="C2" s="4">
        <v>42</v>
      </c>
      <c r="D2" s="28">
        <v>46134</v>
      </c>
      <c r="E2" s="19">
        <v>46149</v>
      </c>
      <c r="F2" s="17"/>
    </row>
    <row r="3" spans="2:6" ht="15.75" hidden="1" x14ac:dyDescent="0.25">
      <c r="B3" s="3" t="s">
        <v>5</v>
      </c>
      <c r="C3" s="4">
        <v>52</v>
      </c>
      <c r="D3" s="28">
        <v>46135</v>
      </c>
      <c r="E3" s="19">
        <v>46149</v>
      </c>
      <c r="F3" s="17"/>
    </row>
    <row r="4" spans="2:6" ht="15.75" hidden="1" x14ac:dyDescent="0.25">
      <c r="B4" s="3" t="s">
        <v>6</v>
      </c>
      <c r="C4" s="4">
        <v>46</v>
      </c>
      <c r="D4" s="28">
        <v>46135</v>
      </c>
      <c r="E4" s="19">
        <v>46149</v>
      </c>
      <c r="F4" s="17"/>
    </row>
    <row r="5" spans="2:6" ht="15.75" hidden="1" x14ac:dyDescent="0.25">
      <c r="B5" s="3" t="s">
        <v>7</v>
      </c>
      <c r="C5" s="4">
        <v>8</v>
      </c>
      <c r="D5" s="28">
        <v>46137</v>
      </c>
      <c r="E5" s="19">
        <v>46154</v>
      </c>
      <c r="F5" s="17"/>
    </row>
    <row r="6" spans="2:6" ht="15.75" hidden="1" x14ac:dyDescent="0.25">
      <c r="B6" s="3" t="s">
        <v>5</v>
      </c>
      <c r="C6" s="4">
        <v>37</v>
      </c>
      <c r="D6" s="28">
        <v>46141</v>
      </c>
      <c r="E6" s="19">
        <v>46156</v>
      </c>
      <c r="F6" s="17"/>
    </row>
    <row r="7" spans="2:6" ht="15.75" hidden="1" x14ac:dyDescent="0.25">
      <c r="B7" s="3" t="s">
        <v>6</v>
      </c>
      <c r="C7" s="4">
        <v>23</v>
      </c>
      <c r="D7" s="28">
        <v>46141</v>
      </c>
      <c r="E7" s="19">
        <v>46156</v>
      </c>
      <c r="F7" s="17"/>
    </row>
    <row r="8" spans="2:6" ht="15.75" hidden="1" x14ac:dyDescent="0.25">
      <c r="B8" s="3" t="s">
        <v>8</v>
      </c>
      <c r="C8" s="4">
        <v>27</v>
      </c>
      <c r="D8" s="28">
        <v>46141</v>
      </c>
      <c r="E8" s="19">
        <v>46156</v>
      </c>
      <c r="F8" s="17"/>
    </row>
    <row r="9" spans="2:6" ht="15.75" hidden="1" x14ac:dyDescent="0.25">
      <c r="B9" s="3" t="s">
        <v>4</v>
      </c>
      <c r="C9" s="4">
        <v>10</v>
      </c>
      <c r="D9" s="28">
        <v>46141</v>
      </c>
      <c r="E9" s="19">
        <v>46156</v>
      </c>
      <c r="F9" s="17"/>
    </row>
    <row r="10" spans="2:6" ht="15.75" hidden="1" x14ac:dyDescent="0.25">
      <c r="B10" s="3" t="s">
        <v>8</v>
      </c>
      <c r="C10" s="4">
        <v>26</v>
      </c>
      <c r="D10" s="28">
        <v>46148</v>
      </c>
      <c r="E10" s="19">
        <v>46163</v>
      </c>
      <c r="F10" s="17"/>
    </row>
    <row r="11" spans="2:6" ht="15.75" hidden="1" x14ac:dyDescent="0.25">
      <c r="B11" s="3" t="s">
        <v>7</v>
      </c>
      <c r="C11" s="4">
        <v>2</v>
      </c>
      <c r="D11" s="28">
        <v>46142</v>
      </c>
      <c r="E11" s="19">
        <v>46127</v>
      </c>
      <c r="F11" s="17"/>
    </row>
    <row r="12" spans="2:6" ht="15.75" hidden="1" x14ac:dyDescent="0.25">
      <c r="B12" s="3" t="s">
        <v>5</v>
      </c>
      <c r="C12" s="4">
        <v>21</v>
      </c>
      <c r="D12" s="28">
        <v>46149</v>
      </c>
      <c r="E12" s="19">
        <v>46163</v>
      </c>
      <c r="F12" s="17"/>
    </row>
    <row r="13" spans="2:6" ht="15.75" hidden="1" x14ac:dyDescent="0.25">
      <c r="B13" s="3" t="s">
        <v>9</v>
      </c>
      <c r="C13" s="4">
        <v>24</v>
      </c>
      <c r="D13" s="28">
        <v>46149</v>
      </c>
      <c r="E13" s="19">
        <v>46163</v>
      </c>
      <c r="F13" s="17"/>
    </row>
    <row r="14" spans="2:6" ht="15.75" hidden="1" x14ac:dyDescent="0.25">
      <c r="B14" s="3" t="s">
        <v>6</v>
      </c>
      <c r="C14" s="4">
        <v>33</v>
      </c>
      <c r="D14" s="28">
        <v>46149</v>
      </c>
      <c r="E14" s="19">
        <v>46163</v>
      </c>
      <c r="F14" s="17"/>
    </row>
    <row r="15" spans="2:6" ht="15.75" hidden="1" x14ac:dyDescent="0.25">
      <c r="B15" s="3" t="s">
        <v>4</v>
      </c>
      <c r="C15" s="4">
        <v>10</v>
      </c>
      <c r="D15" s="28">
        <v>46149</v>
      </c>
      <c r="E15" s="19">
        <v>46163</v>
      </c>
      <c r="F15" s="17"/>
    </row>
    <row r="16" spans="2:6" hidden="1" x14ac:dyDescent="0.25">
      <c r="B16" s="4" t="s">
        <v>5</v>
      </c>
      <c r="C16" s="4">
        <v>27</v>
      </c>
      <c r="D16" s="21">
        <v>46154</v>
      </c>
      <c r="E16" s="20">
        <v>46177</v>
      </c>
    </row>
    <row r="17" spans="2:6" hidden="1" x14ac:dyDescent="0.25">
      <c r="B17" s="4" t="s">
        <v>6</v>
      </c>
      <c r="C17" s="4">
        <v>26</v>
      </c>
      <c r="D17" s="21">
        <v>46154</v>
      </c>
      <c r="E17" s="20">
        <v>46177</v>
      </c>
    </row>
    <row r="18" spans="2:6" hidden="1" x14ac:dyDescent="0.25">
      <c r="B18" s="4" t="s">
        <v>9</v>
      </c>
      <c r="C18" s="4">
        <v>25</v>
      </c>
      <c r="D18" s="21">
        <v>46154</v>
      </c>
      <c r="E18" s="20">
        <v>46177</v>
      </c>
    </row>
    <row r="19" spans="2:6" hidden="1" x14ac:dyDescent="0.25">
      <c r="B19" s="4" t="s">
        <v>4</v>
      </c>
      <c r="C19" s="4">
        <v>10</v>
      </c>
      <c r="D19" s="21">
        <v>46154</v>
      </c>
      <c r="E19" s="20">
        <v>46177</v>
      </c>
    </row>
    <row r="20" spans="2:6" hidden="1" x14ac:dyDescent="0.25">
      <c r="B20" s="4" t="s">
        <v>5</v>
      </c>
      <c r="C20" s="4">
        <v>44</v>
      </c>
      <c r="D20" s="21">
        <v>46156</v>
      </c>
      <c r="E20" s="20">
        <v>46177</v>
      </c>
    </row>
    <row r="21" spans="2:6" hidden="1" x14ac:dyDescent="0.25">
      <c r="B21" s="4" t="s">
        <v>7</v>
      </c>
      <c r="C21" s="4">
        <v>13</v>
      </c>
      <c r="D21" s="21">
        <v>46157</v>
      </c>
      <c r="E21" s="20">
        <v>46178</v>
      </c>
    </row>
    <row r="22" spans="2:6" hidden="1" x14ac:dyDescent="0.25">
      <c r="B22" s="5" t="s">
        <v>5</v>
      </c>
      <c r="C22" s="4">
        <v>22</v>
      </c>
      <c r="D22" s="21">
        <v>46161</v>
      </c>
      <c r="E22" s="21">
        <v>46183</v>
      </c>
    </row>
    <row r="23" spans="2:6" hidden="1" x14ac:dyDescent="0.25">
      <c r="B23" s="5" t="s">
        <v>6</v>
      </c>
      <c r="C23" s="4">
        <v>22</v>
      </c>
      <c r="D23" s="21">
        <v>46161</v>
      </c>
      <c r="E23" s="21">
        <v>46183</v>
      </c>
    </row>
    <row r="24" spans="2:6" hidden="1" x14ac:dyDescent="0.25">
      <c r="B24" s="5" t="s">
        <v>9</v>
      </c>
      <c r="C24" s="4">
        <v>22</v>
      </c>
      <c r="D24" s="21">
        <v>46161</v>
      </c>
      <c r="E24" s="21">
        <v>46183</v>
      </c>
    </row>
    <row r="25" spans="2:6" hidden="1" x14ac:dyDescent="0.25">
      <c r="B25" s="5" t="s">
        <v>4</v>
      </c>
      <c r="C25" s="4">
        <v>10</v>
      </c>
      <c r="D25" s="21">
        <v>46161</v>
      </c>
      <c r="E25" s="21">
        <v>46183</v>
      </c>
    </row>
    <row r="26" spans="2:6" hidden="1" x14ac:dyDescent="0.25">
      <c r="B26" s="5" t="s">
        <v>10</v>
      </c>
      <c r="C26" s="4">
        <v>2</v>
      </c>
      <c r="D26" s="21">
        <v>46161</v>
      </c>
      <c r="E26" s="21">
        <v>46183</v>
      </c>
    </row>
    <row r="27" spans="2:6" hidden="1" x14ac:dyDescent="0.25">
      <c r="B27" s="5" t="s">
        <v>5</v>
      </c>
      <c r="C27" s="4">
        <v>28</v>
      </c>
      <c r="D27" s="21">
        <v>46162</v>
      </c>
      <c r="E27" s="21">
        <v>46184</v>
      </c>
    </row>
    <row r="28" spans="2:6" hidden="1" x14ac:dyDescent="0.25">
      <c r="B28" s="6" t="s">
        <v>6</v>
      </c>
      <c r="C28" s="7">
        <v>20</v>
      </c>
      <c r="D28" s="22">
        <v>46175</v>
      </c>
      <c r="E28" s="22">
        <v>46190</v>
      </c>
      <c r="F28" s="8" t="s">
        <v>11</v>
      </c>
    </row>
    <row r="29" spans="2:6" hidden="1" x14ac:dyDescent="0.25">
      <c r="B29" s="6" t="s">
        <v>5</v>
      </c>
      <c r="C29" s="7">
        <v>22</v>
      </c>
      <c r="D29" s="22">
        <v>46175</v>
      </c>
      <c r="E29" s="22">
        <v>46190</v>
      </c>
      <c r="F29" s="8" t="s">
        <v>11</v>
      </c>
    </row>
    <row r="30" spans="2:6" hidden="1" x14ac:dyDescent="0.25">
      <c r="B30" s="6" t="s">
        <v>4</v>
      </c>
      <c r="C30" s="7">
        <v>21</v>
      </c>
      <c r="D30" s="22">
        <v>46175</v>
      </c>
      <c r="E30" s="22">
        <v>46190</v>
      </c>
      <c r="F30" s="8" t="s">
        <v>11</v>
      </c>
    </row>
    <row r="31" spans="2:6" hidden="1" x14ac:dyDescent="0.25">
      <c r="B31" s="6" t="s">
        <v>7</v>
      </c>
      <c r="C31" s="7">
        <v>8</v>
      </c>
      <c r="D31" s="22">
        <v>46176</v>
      </c>
      <c r="E31" s="22">
        <v>46192</v>
      </c>
      <c r="F31" s="8" t="s">
        <v>11</v>
      </c>
    </row>
    <row r="32" spans="2:6" hidden="1" x14ac:dyDescent="0.25">
      <c r="B32" s="6" t="s">
        <v>9</v>
      </c>
      <c r="C32" s="7">
        <v>6</v>
      </c>
      <c r="D32" s="22">
        <v>46178</v>
      </c>
      <c r="E32" s="22">
        <v>46192</v>
      </c>
      <c r="F32" s="8" t="s">
        <v>11</v>
      </c>
    </row>
    <row r="33" spans="2:6" hidden="1" x14ac:dyDescent="0.25">
      <c r="B33" s="7" t="s">
        <v>5</v>
      </c>
      <c r="C33" s="7">
        <v>52</v>
      </c>
      <c r="D33" s="29">
        <v>46182</v>
      </c>
      <c r="E33" s="23">
        <v>46198</v>
      </c>
      <c r="F33" s="8" t="s">
        <v>11</v>
      </c>
    </row>
    <row r="34" spans="2:6" hidden="1" x14ac:dyDescent="0.25">
      <c r="B34" s="7" t="s">
        <v>9</v>
      </c>
      <c r="C34" s="7">
        <v>14</v>
      </c>
      <c r="D34" s="29">
        <v>46182</v>
      </c>
      <c r="E34" s="23">
        <v>46198</v>
      </c>
      <c r="F34" s="8" t="s">
        <v>11</v>
      </c>
    </row>
    <row r="35" spans="2:6" hidden="1" x14ac:dyDescent="0.25">
      <c r="B35" s="7" t="s">
        <v>10</v>
      </c>
      <c r="C35" s="7">
        <v>4</v>
      </c>
      <c r="D35" s="29">
        <v>46182</v>
      </c>
      <c r="E35" s="23">
        <v>46198</v>
      </c>
      <c r="F35" s="8" t="s">
        <v>11</v>
      </c>
    </row>
    <row r="36" spans="2:6" hidden="1" x14ac:dyDescent="0.25">
      <c r="B36" s="7" t="s">
        <v>8</v>
      </c>
      <c r="C36" s="7">
        <v>22</v>
      </c>
      <c r="D36" s="29">
        <v>46182</v>
      </c>
      <c r="E36" s="23">
        <v>46198</v>
      </c>
      <c r="F36" s="8" t="s">
        <v>11</v>
      </c>
    </row>
    <row r="37" spans="2:6" hidden="1" x14ac:dyDescent="0.25">
      <c r="B37" s="7" t="s">
        <v>4</v>
      </c>
      <c r="C37" s="7">
        <v>19</v>
      </c>
      <c r="D37" s="29">
        <v>46183</v>
      </c>
      <c r="E37" s="23">
        <v>46198</v>
      </c>
      <c r="F37" s="8" t="s">
        <v>11</v>
      </c>
    </row>
    <row r="38" spans="2:6" hidden="1" x14ac:dyDescent="0.25">
      <c r="B38" s="7" t="s">
        <v>9</v>
      </c>
      <c r="C38" s="7">
        <v>2</v>
      </c>
      <c r="D38" s="29">
        <v>46183</v>
      </c>
      <c r="E38" s="23">
        <v>46198</v>
      </c>
      <c r="F38" s="8" t="s">
        <v>11</v>
      </c>
    </row>
    <row r="39" spans="2:6" hidden="1" x14ac:dyDescent="0.25">
      <c r="B39" s="7" t="s">
        <v>5</v>
      </c>
      <c r="C39" s="7">
        <v>14</v>
      </c>
      <c r="D39" s="29">
        <v>46188</v>
      </c>
      <c r="E39" s="23">
        <v>46204</v>
      </c>
      <c r="F39" s="8" t="s">
        <v>11</v>
      </c>
    </row>
    <row r="40" spans="2:6" hidden="1" x14ac:dyDescent="0.25">
      <c r="B40" s="7" t="s">
        <v>6</v>
      </c>
      <c r="C40" s="7">
        <v>25</v>
      </c>
      <c r="D40" s="29">
        <v>46188</v>
      </c>
      <c r="E40" s="23">
        <v>46204</v>
      </c>
      <c r="F40" s="8" t="s">
        <v>11</v>
      </c>
    </row>
    <row r="41" spans="2:6" hidden="1" x14ac:dyDescent="0.25">
      <c r="B41" s="7" t="s">
        <v>4</v>
      </c>
      <c r="C41" s="7">
        <v>8</v>
      </c>
      <c r="D41" s="29">
        <v>46188</v>
      </c>
      <c r="E41" s="23">
        <v>46204</v>
      </c>
      <c r="F41" s="8" t="s">
        <v>11</v>
      </c>
    </row>
    <row r="42" spans="2:6" hidden="1" x14ac:dyDescent="0.25">
      <c r="B42" s="7" t="s">
        <v>6</v>
      </c>
      <c r="C42" s="7">
        <v>30</v>
      </c>
      <c r="D42" s="29">
        <v>46192</v>
      </c>
      <c r="E42" s="23">
        <v>46206</v>
      </c>
      <c r="F42" s="8" t="s">
        <v>11</v>
      </c>
    </row>
    <row r="43" spans="2:6" hidden="1" x14ac:dyDescent="0.25">
      <c r="B43" s="7" t="s">
        <v>8</v>
      </c>
      <c r="C43" s="7">
        <v>20</v>
      </c>
      <c r="D43" s="29">
        <v>46192</v>
      </c>
      <c r="E43" s="23">
        <v>46206</v>
      </c>
      <c r="F43" s="8" t="s">
        <v>11</v>
      </c>
    </row>
    <row r="44" spans="2:6" hidden="1" x14ac:dyDescent="0.25">
      <c r="B44" s="7" t="s">
        <v>7</v>
      </c>
      <c r="C44" s="7">
        <v>27</v>
      </c>
      <c r="D44" s="29">
        <v>46204</v>
      </c>
      <c r="E44" s="23">
        <v>46219</v>
      </c>
      <c r="F44" s="8" t="s">
        <v>11</v>
      </c>
    </row>
    <row r="45" spans="2:6" hidden="1" x14ac:dyDescent="0.25">
      <c r="B45" s="7" t="s">
        <v>7</v>
      </c>
      <c r="C45" s="7">
        <v>23</v>
      </c>
      <c r="D45" s="29">
        <v>46209</v>
      </c>
      <c r="E45" s="23">
        <v>46226</v>
      </c>
      <c r="F45" s="8" t="s">
        <v>11</v>
      </c>
    </row>
    <row r="46" spans="2:6" hidden="1" x14ac:dyDescent="0.25">
      <c r="B46" s="7" t="s">
        <v>12</v>
      </c>
      <c r="C46" s="7">
        <v>1</v>
      </c>
      <c r="D46" s="29">
        <v>46209</v>
      </c>
      <c r="E46" s="23">
        <v>46226</v>
      </c>
      <c r="F46" s="8" t="s">
        <v>11</v>
      </c>
    </row>
    <row r="47" spans="2:6" hidden="1" x14ac:dyDescent="0.25">
      <c r="B47" s="7" t="s">
        <v>13</v>
      </c>
      <c r="C47" s="7">
        <v>1</v>
      </c>
      <c r="D47" s="29">
        <v>46195</v>
      </c>
      <c r="E47" s="23">
        <v>46210</v>
      </c>
      <c r="F47" s="8" t="s">
        <v>11</v>
      </c>
    </row>
    <row r="48" spans="2:6" hidden="1" x14ac:dyDescent="0.25">
      <c r="B48" s="7" t="s">
        <v>5</v>
      </c>
      <c r="C48" s="7">
        <v>23</v>
      </c>
      <c r="D48" s="29">
        <v>46196</v>
      </c>
      <c r="E48" s="23">
        <v>46211</v>
      </c>
      <c r="F48" s="8" t="s">
        <v>14</v>
      </c>
    </row>
    <row r="49" spans="2:6" hidden="1" x14ac:dyDescent="0.25">
      <c r="B49" s="7" t="s">
        <v>5</v>
      </c>
      <c r="C49" s="7">
        <v>17</v>
      </c>
      <c r="D49" s="29">
        <v>46199</v>
      </c>
      <c r="E49" s="23">
        <v>46213</v>
      </c>
      <c r="F49" s="8" t="s">
        <v>11</v>
      </c>
    </row>
    <row r="50" spans="2:6" hidden="1" x14ac:dyDescent="0.25">
      <c r="B50" s="7" t="s">
        <v>5</v>
      </c>
      <c r="C50" s="7">
        <v>15</v>
      </c>
      <c r="D50" s="29">
        <v>46202</v>
      </c>
      <c r="E50" s="23">
        <v>46217</v>
      </c>
      <c r="F50" s="8" t="s">
        <v>11</v>
      </c>
    </row>
    <row r="51" spans="2:6" hidden="1" x14ac:dyDescent="0.25">
      <c r="B51" s="7" t="s">
        <v>5</v>
      </c>
      <c r="C51" s="7">
        <v>1</v>
      </c>
      <c r="D51" s="29">
        <v>46204</v>
      </c>
      <c r="E51" s="23">
        <v>46219</v>
      </c>
      <c r="F51" s="8" t="s">
        <v>11</v>
      </c>
    </row>
    <row r="52" spans="2:6" hidden="1" x14ac:dyDescent="0.25">
      <c r="B52" s="7" t="s">
        <v>5</v>
      </c>
      <c r="C52" s="7">
        <v>27</v>
      </c>
      <c r="D52" s="29">
        <v>46205</v>
      </c>
      <c r="E52" s="23">
        <v>46219</v>
      </c>
      <c r="F52" s="8" t="s">
        <v>14</v>
      </c>
    </row>
    <row r="53" spans="2:6" hidden="1" x14ac:dyDescent="0.25">
      <c r="B53" s="7" t="s">
        <v>5</v>
      </c>
      <c r="C53" s="7">
        <v>27</v>
      </c>
      <c r="D53" s="29">
        <v>46206</v>
      </c>
      <c r="E53" s="23">
        <v>46220</v>
      </c>
      <c r="F53" s="8" t="s">
        <v>14</v>
      </c>
    </row>
    <row r="54" spans="2:6" hidden="1" x14ac:dyDescent="0.25">
      <c r="B54" s="7" t="s">
        <v>5</v>
      </c>
      <c r="C54" s="7">
        <v>27</v>
      </c>
      <c r="D54" s="29">
        <v>46209</v>
      </c>
      <c r="E54" s="23">
        <v>46224</v>
      </c>
      <c r="F54" s="8" t="s">
        <v>11</v>
      </c>
    </row>
    <row r="55" spans="2:6" hidden="1" x14ac:dyDescent="0.25">
      <c r="B55" s="9" t="s">
        <v>6</v>
      </c>
      <c r="C55" s="7">
        <v>27</v>
      </c>
      <c r="D55" s="29">
        <v>46199</v>
      </c>
      <c r="E55" s="23">
        <v>46213</v>
      </c>
      <c r="F55" s="8" t="s">
        <v>11</v>
      </c>
    </row>
    <row r="56" spans="2:6" hidden="1" x14ac:dyDescent="0.25">
      <c r="B56" s="9" t="s">
        <v>6</v>
      </c>
      <c r="C56" s="7">
        <v>22</v>
      </c>
      <c r="D56" s="29">
        <v>46202</v>
      </c>
      <c r="E56" s="23">
        <v>46217</v>
      </c>
      <c r="F56" s="8" t="s">
        <v>11</v>
      </c>
    </row>
    <row r="57" spans="2:6" hidden="1" x14ac:dyDescent="0.25">
      <c r="B57" s="9" t="s">
        <v>12</v>
      </c>
      <c r="C57" s="7">
        <v>3</v>
      </c>
      <c r="D57" s="29">
        <v>46204</v>
      </c>
      <c r="E57" s="23">
        <v>46219</v>
      </c>
      <c r="F57" s="8" t="s">
        <v>11</v>
      </c>
    </row>
    <row r="58" spans="2:6" hidden="1" x14ac:dyDescent="0.25">
      <c r="B58" s="9" t="s">
        <v>9</v>
      </c>
      <c r="C58" s="7">
        <v>9</v>
      </c>
      <c r="D58" s="29">
        <v>46204</v>
      </c>
      <c r="E58" s="23">
        <v>46219</v>
      </c>
      <c r="F58" s="8" t="s">
        <v>11</v>
      </c>
    </row>
    <row r="59" spans="2:6" hidden="1" x14ac:dyDescent="0.25">
      <c r="B59" s="9" t="s">
        <v>9</v>
      </c>
      <c r="C59" s="9">
        <v>9</v>
      </c>
      <c r="D59" s="23">
        <v>46209</v>
      </c>
      <c r="E59" s="23">
        <v>46224</v>
      </c>
      <c r="F59" s="9" t="s">
        <v>11</v>
      </c>
    </row>
    <row r="60" spans="2:6" hidden="1" x14ac:dyDescent="0.25">
      <c r="B60" s="9" t="s">
        <v>8</v>
      </c>
      <c r="C60" s="9">
        <v>20</v>
      </c>
      <c r="D60" s="23">
        <v>46199</v>
      </c>
      <c r="E60" s="23">
        <v>46213</v>
      </c>
      <c r="F60" s="9" t="s">
        <v>11</v>
      </c>
    </row>
    <row r="61" spans="2:6" hidden="1" x14ac:dyDescent="0.25">
      <c r="B61" s="9" t="s">
        <v>4</v>
      </c>
      <c r="C61" s="9">
        <v>1</v>
      </c>
      <c r="D61" s="23">
        <v>46196</v>
      </c>
      <c r="E61" s="23">
        <v>46211</v>
      </c>
      <c r="F61" s="9" t="s">
        <v>11</v>
      </c>
    </row>
    <row r="62" spans="2:6" hidden="1" x14ac:dyDescent="0.25">
      <c r="B62" s="9" t="s">
        <v>4</v>
      </c>
      <c r="C62" s="9">
        <v>10</v>
      </c>
      <c r="D62" s="23">
        <v>46209</v>
      </c>
      <c r="E62" s="23">
        <v>46224</v>
      </c>
      <c r="F62" s="9" t="s">
        <v>11</v>
      </c>
    </row>
    <row r="63" spans="2:6" hidden="1" x14ac:dyDescent="0.25">
      <c r="B63" s="9" t="s">
        <v>7</v>
      </c>
      <c r="C63" s="9">
        <v>27</v>
      </c>
      <c r="D63" s="23">
        <v>46204</v>
      </c>
      <c r="E63" s="23">
        <v>46219</v>
      </c>
      <c r="F63" s="9" t="s">
        <v>11</v>
      </c>
    </row>
    <row r="64" spans="2:6" hidden="1" x14ac:dyDescent="0.25">
      <c r="B64" s="9" t="s">
        <v>9</v>
      </c>
      <c r="C64" s="9">
        <v>11</v>
      </c>
      <c r="D64" s="23">
        <v>46204</v>
      </c>
      <c r="E64" s="23">
        <v>46219</v>
      </c>
      <c r="F64" s="9" t="s">
        <v>11</v>
      </c>
    </row>
    <row r="65" spans="2:6" hidden="1" x14ac:dyDescent="0.25">
      <c r="B65" s="9" t="s">
        <v>5</v>
      </c>
      <c r="C65" s="9">
        <v>25</v>
      </c>
      <c r="D65" s="23">
        <v>46205</v>
      </c>
      <c r="E65" s="23">
        <v>46219</v>
      </c>
      <c r="F65" s="9" t="s">
        <v>15</v>
      </c>
    </row>
    <row r="66" spans="2:6" hidden="1" x14ac:dyDescent="0.25">
      <c r="B66" s="9" t="s">
        <v>5</v>
      </c>
      <c r="C66" s="9">
        <v>28</v>
      </c>
      <c r="D66" s="23">
        <v>46206</v>
      </c>
      <c r="E66" s="23">
        <v>46220</v>
      </c>
      <c r="F66" s="9" t="s">
        <v>15</v>
      </c>
    </row>
    <row r="67" spans="2:6" hidden="1" x14ac:dyDescent="0.25">
      <c r="B67" s="9" t="s">
        <v>7</v>
      </c>
      <c r="C67" s="9">
        <v>23</v>
      </c>
      <c r="D67" s="23">
        <v>46209</v>
      </c>
      <c r="E67" s="23">
        <v>46224</v>
      </c>
      <c r="F67" s="9" t="s">
        <v>11</v>
      </c>
    </row>
    <row r="68" spans="2:6" hidden="1" x14ac:dyDescent="0.25">
      <c r="B68" s="9" t="s">
        <v>5</v>
      </c>
      <c r="C68" s="9">
        <v>26</v>
      </c>
      <c r="D68" s="23">
        <v>46209</v>
      </c>
      <c r="E68" s="23">
        <v>46224</v>
      </c>
      <c r="F68" s="9" t="s">
        <v>11</v>
      </c>
    </row>
    <row r="69" spans="2:6" hidden="1" x14ac:dyDescent="0.25">
      <c r="B69" s="9" t="s">
        <v>4</v>
      </c>
      <c r="C69" s="9">
        <v>10</v>
      </c>
      <c r="D69" s="23">
        <v>46209</v>
      </c>
      <c r="E69" s="23">
        <v>46224</v>
      </c>
      <c r="F69" s="9" t="s">
        <v>11</v>
      </c>
    </row>
    <row r="70" spans="2:6" hidden="1" x14ac:dyDescent="0.25">
      <c r="B70" s="9" t="s">
        <v>9</v>
      </c>
      <c r="C70" s="9">
        <v>9</v>
      </c>
      <c r="D70" s="23">
        <v>46209</v>
      </c>
      <c r="E70" s="23">
        <v>46224</v>
      </c>
      <c r="F70" s="9" t="s">
        <v>11</v>
      </c>
    </row>
    <row r="71" spans="2:6" hidden="1" x14ac:dyDescent="0.25">
      <c r="B71" s="9" t="s">
        <v>12</v>
      </c>
      <c r="C71" s="9">
        <v>1</v>
      </c>
      <c r="D71" s="23">
        <v>46209</v>
      </c>
      <c r="E71" s="23">
        <v>46224</v>
      </c>
      <c r="F71" s="9" t="s">
        <v>11</v>
      </c>
    </row>
    <row r="72" spans="2:6" hidden="1" x14ac:dyDescent="0.25">
      <c r="B72" s="9" t="s">
        <v>9</v>
      </c>
      <c r="C72" s="9">
        <v>9</v>
      </c>
      <c r="D72" s="23">
        <v>46211</v>
      </c>
      <c r="E72" s="23">
        <v>46226</v>
      </c>
      <c r="F72" s="9" t="s">
        <v>11</v>
      </c>
    </row>
    <row r="73" spans="2:6" hidden="1" x14ac:dyDescent="0.25">
      <c r="B73" s="9" t="s">
        <v>6</v>
      </c>
      <c r="C73" s="9">
        <v>62</v>
      </c>
      <c r="D73" s="23">
        <v>46211</v>
      </c>
      <c r="E73" s="23">
        <v>46226</v>
      </c>
      <c r="F73" s="9" t="s">
        <v>11</v>
      </c>
    </row>
    <row r="74" spans="2:6" hidden="1" x14ac:dyDescent="0.25">
      <c r="B74" s="9" t="s">
        <v>7</v>
      </c>
      <c r="C74" s="9">
        <v>19</v>
      </c>
      <c r="D74" s="23">
        <v>46213</v>
      </c>
      <c r="E74" s="23">
        <v>46227</v>
      </c>
      <c r="F74" s="9" t="s">
        <v>11</v>
      </c>
    </row>
    <row r="75" spans="2:6" hidden="1" x14ac:dyDescent="0.25">
      <c r="B75" s="9" t="s">
        <v>5</v>
      </c>
      <c r="C75" s="9">
        <v>63</v>
      </c>
      <c r="D75" s="23">
        <v>46213</v>
      </c>
      <c r="E75" s="23">
        <v>46227</v>
      </c>
      <c r="F75" s="9" t="s">
        <v>11</v>
      </c>
    </row>
    <row r="76" spans="2:6" hidden="1" x14ac:dyDescent="0.25">
      <c r="B76" s="9" t="s">
        <v>5</v>
      </c>
      <c r="C76" s="9">
        <v>26</v>
      </c>
      <c r="D76" s="23">
        <v>46213</v>
      </c>
      <c r="E76" s="23">
        <v>46227</v>
      </c>
      <c r="F76" s="9" t="s">
        <v>14</v>
      </c>
    </row>
    <row r="77" spans="2:6" hidden="1" x14ac:dyDescent="0.25">
      <c r="B77" s="9" t="s">
        <v>5</v>
      </c>
      <c r="C77" s="9">
        <v>19</v>
      </c>
      <c r="D77" s="23">
        <v>46219</v>
      </c>
      <c r="E77" s="23">
        <v>46233</v>
      </c>
      <c r="F77" s="9" t="s">
        <v>15</v>
      </c>
    </row>
    <row r="78" spans="2:6" hidden="1" x14ac:dyDescent="0.25">
      <c r="B78" s="9" t="s">
        <v>9</v>
      </c>
      <c r="C78" s="9">
        <v>22</v>
      </c>
      <c r="D78" s="23">
        <v>46219</v>
      </c>
      <c r="E78" s="23">
        <v>46233</v>
      </c>
      <c r="F78" s="9" t="s">
        <v>11</v>
      </c>
    </row>
    <row r="79" spans="2:6" hidden="1" x14ac:dyDescent="0.25">
      <c r="B79" s="9" t="s">
        <v>5</v>
      </c>
      <c r="C79" s="9">
        <v>22</v>
      </c>
      <c r="D79" s="23">
        <v>46224</v>
      </c>
      <c r="E79" s="23">
        <v>46239</v>
      </c>
      <c r="F79" s="9" t="s">
        <v>15</v>
      </c>
    </row>
    <row r="80" spans="2:6" hidden="1" x14ac:dyDescent="0.25">
      <c r="B80" s="9" t="s">
        <v>5</v>
      </c>
      <c r="C80" s="9">
        <v>13</v>
      </c>
      <c r="D80" s="23">
        <v>46224</v>
      </c>
      <c r="E80" s="23">
        <v>46239</v>
      </c>
      <c r="F80" s="9" t="s">
        <v>11</v>
      </c>
    </row>
    <row r="81" spans="2:6" hidden="1" x14ac:dyDescent="0.25">
      <c r="B81" s="9" t="s">
        <v>13</v>
      </c>
      <c r="C81" s="9">
        <v>20</v>
      </c>
      <c r="D81" s="23">
        <v>46224</v>
      </c>
      <c r="E81" s="23">
        <v>46239</v>
      </c>
      <c r="F81" s="9" t="s">
        <v>11</v>
      </c>
    </row>
    <row r="82" spans="2:6" hidden="1" x14ac:dyDescent="0.25">
      <c r="B82" s="9" t="s">
        <v>6</v>
      </c>
      <c r="C82" s="9">
        <v>34</v>
      </c>
      <c r="D82" s="23">
        <v>46224</v>
      </c>
      <c r="E82" s="23">
        <v>46239</v>
      </c>
      <c r="F82" s="9" t="s">
        <v>11</v>
      </c>
    </row>
    <row r="83" spans="2:6" hidden="1" x14ac:dyDescent="0.25">
      <c r="B83" s="9" t="s">
        <v>9</v>
      </c>
      <c r="C83" s="9">
        <v>3</v>
      </c>
      <c r="D83" s="23">
        <v>46224</v>
      </c>
      <c r="E83" s="23">
        <v>46239</v>
      </c>
      <c r="F83" s="9" t="s">
        <v>11</v>
      </c>
    </row>
    <row r="84" spans="2:6" x14ac:dyDescent="0.25">
      <c r="B84" s="13" t="s">
        <v>5</v>
      </c>
      <c r="C84" s="11">
        <v>14</v>
      </c>
      <c r="D84" s="25">
        <v>46227</v>
      </c>
      <c r="E84" s="24">
        <v>46244</v>
      </c>
      <c r="F84" s="13" t="s">
        <v>11</v>
      </c>
    </row>
    <row r="85" spans="2:6" x14ac:dyDescent="0.25">
      <c r="B85" s="13" t="s">
        <v>8</v>
      </c>
      <c r="C85" s="11">
        <v>15</v>
      </c>
      <c r="D85" s="25">
        <v>46227</v>
      </c>
      <c r="E85" s="24">
        <v>46244</v>
      </c>
      <c r="F85" s="13" t="s">
        <v>11</v>
      </c>
    </row>
    <row r="86" spans="2:6" x14ac:dyDescent="0.25">
      <c r="B86" s="13" t="s">
        <v>6</v>
      </c>
      <c r="C86" s="11">
        <v>17</v>
      </c>
      <c r="D86" s="25">
        <v>46227</v>
      </c>
      <c r="E86" s="24">
        <v>46244</v>
      </c>
      <c r="F86" s="13" t="s">
        <v>11</v>
      </c>
    </row>
    <row r="87" spans="2:6" x14ac:dyDescent="0.25">
      <c r="B87" s="13" t="s">
        <v>5</v>
      </c>
      <c r="C87" s="13">
        <v>20</v>
      </c>
      <c r="D87" s="25">
        <v>46231</v>
      </c>
      <c r="E87" s="24">
        <v>46247</v>
      </c>
      <c r="F87" s="13" t="s">
        <v>15</v>
      </c>
    </row>
    <row r="88" spans="2:6" x14ac:dyDescent="0.25">
      <c r="B88" s="13" t="s">
        <v>5</v>
      </c>
      <c r="C88" s="13">
        <v>20</v>
      </c>
      <c r="D88" s="25">
        <v>46232</v>
      </c>
      <c r="E88" s="24">
        <v>46247</v>
      </c>
      <c r="F88" s="13" t="s">
        <v>11</v>
      </c>
    </row>
    <row r="89" spans="2:6" x14ac:dyDescent="0.25">
      <c r="B89" s="13" t="s">
        <v>6</v>
      </c>
      <c r="C89" s="13">
        <v>18</v>
      </c>
      <c r="D89" s="25">
        <v>46232</v>
      </c>
      <c r="E89" s="24">
        <v>46247</v>
      </c>
      <c r="F89" s="13" t="s">
        <v>11</v>
      </c>
    </row>
    <row r="90" spans="2:6" x14ac:dyDescent="0.25">
      <c r="B90" s="15" t="s">
        <v>16</v>
      </c>
      <c r="C90" s="13">
        <v>5</v>
      </c>
      <c r="D90" s="25">
        <v>46232</v>
      </c>
      <c r="E90" s="24">
        <v>46247</v>
      </c>
      <c r="F90" s="13" t="s">
        <v>11</v>
      </c>
    </row>
    <row r="91" spans="2:6" x14ac:dyDescent="0.25">
      <c r="B91" s="13" t="s">
        <v>7</v>
      </c>
      <c r="C91" s="13">
        <v>21</v>
      </c>
      <c r="D91" s="25">
        <v>46233</v>
      </c>
      <c r="E91" s="24">
        <v>46247</v>
      </c>
      <c r="F91" s="13" t="s">
        <v>11</v>
      </c>
    </row>
    <row r="92" spans="2:6" x14ac:dyDescent="0.25">
      <c r="B92" s="13" t="s">
        <v>5</v>
      </c>
      <c r="C92" s="13">
        <v>24</v>
      </c>
      <c r="D92" s="25">
        <v>46234</v>
      </c>
      <c r="E92" s="25">
        <v>46248</v>
      </c>
      <c r="F92" s="13" t="s">
        <v>15</v>
      </c>
    </row>
    <row r="93" spans="2:6" x14ac:dyDescent="0.25">
      <c r="B93" s="13" t="s">
        <v>7</v>
      </c>
      <c r="C93" s="13">
        <v>16</v>
      </c>
      <c r="D93" s="25">
        <v>46237</v>
      </c>
      <c r="E93" s="25">
        <v>46252</v>
      </c>
      <c r="F93" s="13" t="s">
        <v>11</v>
      </c>
    </row>
    <row r="94" spans="2:6" x14ac:dyDescent="0.25">
      <c r="B94" s="13" t="s">
        <v>6</v>
      </c>
      <c r="C94" s="13">
        <v>17</v>
      </c>
      <c r="D94" s="25">
        <v>46237</v>
      </c>
      <c r="E94" s="25">
        <v>46252</v>
      </c>
      <c r="F94" s="13" t="s">
        <v>11</v>
      </c>
    </row>
    <row r="95" spans="2:6" x14ac:dyDescent="0.25">
      <c r="B95" s="13" t="s">
        <v>5</v>
      </c>
      <c r="C95" s="13">
        <v>31</v>
      </c>
      <c r="D95" s="25">
        <v>46237</v>
      </c>
      <c r="E95" s="25">
        <v>46252</v>
      </c>
      <c r="F95" s="13" t="s">
        <v>11</v>
      </c>
    </row>
    <row r="96" spans="2:6" x14ac:dyDescent="0.25">
      <c r="B96" s="13" t="s">
        <v>17</v>
      </c>
      <c r="C96" s="13">
        <v>3</v>
      </c>
      <c r="D96" s="25">
        <v>46237</v>
      </c>
      <c r="E96" s="25">
        <v>46252</v>
      </c>
      <c r="F96" s="13" t="s">
        <v>11</v>
      </c>
    </row>
    <row r="97" spans="2:6" x14ac:dyDescent="0.25">
      <c r="B97" s="13" t="s">
        <v>18</v>
      </c>
      <c r="C97" s="13">
        <v>3</v>
      </c>
      <c r="D97" s="25">
        <v>46237</v>
      </c>
      <c r="E97" s="25">
        <v>46252</v>
      </c>
      <c r="F97" s="13" t="s">
        <v>11</v>
      </c>
    </row>
    <row r="98" spans="2:6" x14ac:dyDescent="0.25">
      <c r="B98" s="13" t="s">
        <v>10</v>
      </c>
      <c r="C98" s="13">
        <v>4</v>
      </c>
      <c r="D98" s="25">
        <v>46237</v>
      </c>
      <c r="E98" s="25">
        <v>46252</v>
      </c>
      <c r="F98" s="13" t="s">
        <v>11</v>
      </c>
    </row>
    <row r="99" spans="2:6" x14ac:dyDescent="0.25">
      <c r="B99" s="13" t="s">
        <v>18</v>
      </c>
      <c r="C99" s="13">
        <v>3</v>
      </c>
      <c r="D99" s="25">
        <v>46240</v>
      </c>
      <c r="E99" s="25">
        <v>46254</v>
      </c>
      <c r="F99" s="13" t="s">
        <v>11</v>
      </c>
    </row>
    <row r="100" spans="2:6" x14ac:dyDescent="0.25">
      <c r="B100" s="13" t="s">
        <v>5</v>
      </c>
      <c r="C100" s="13">
        <v>43</v>
      </c>
      <c r="D100" s="25">
        <v>46241</v>
      </c>
      <c r="E100" s="24">
        <v>46255</v>
      </c>
      <c r="F100" s="13" t="s">
        <v>11</v>
      </c>
    </row>
    <row r="101" spans="2:6" x14ac:dyDescent="0.25">
      <c r="B101" s="13" t="s">
        <v>6</v>
      </c>
      <c r="C101" s="13">
        <v>12</v>
      </c>
      <c r="D101" s="25">
        <v>46241</v>
      </c>
      <c r="E101" s="24">
        <v>46255</v>
      </c>
      <c r="F101" s="13" t="s">
        <v>11</v>
      </c>
    </row>
    <row r="102" spans="2:6" x14ac:dyDescent="0.25">
      <c r="B102" s="13" t="s">
        <v>9</v>
      </c>
      <c r="C102" s="13">
        <v>7</v>
      </c>
      <c r="D102" s="25">
        <v>46241</v>
      </c>
      <c r="E102" s="24">
        <v>46255</v>
      </c>
      <c r="F102" s="13" t="s">
        <v>11</v>
      </c>
    </row>
    <row r="103" spans="2:6" x14ac:dyDescent="0.25">
      <c r="B103" s="13" t="s">
        <v>18</v>
      </c>
      <c r="C103" s="13">
        <v>6</v>
      </c>
      <c r="D103" s="25">
        <v>46241</v>
      </c>
      <c r="E103" s="24">
        <v>46255</v>
      </c>
      <c r="F103" s="13" t="s">
        <v>11</v>
      </c>
    </row>
    <row r="104" spans="2:6" x14ac:dyDescent="0.25">
      <c r="B104" s="13" t="s">
        <v>27</v>
      </c>
      <c r="C104" s="13">
        <v>1</v>
      </c>
      <c r="D104" s="25">
        <v>46241</v>
      </c>
      <c r="E104" s="24">
        <v>46255</v>
      </c>
      <c r="F104" s="13" t="s">
        <v>11</v>
      </c>
    </row>
    <row r="105" spans="2:6" x14ac:dyDescent="0.25">
      <c r="B105" s="13" t="s">
        <v>5</v>
      </c>
      <c r="C105" s="13">
        <v>28</v>
      </c>
      <c r="D105" s="25">
        <v>46241</v>
      </c>
      <c r="E105" s="24">
        <v>46255</v>
      </c>
      <c r="F105" s="13" t="s">
        <v>15</v>
      </c>
    </row>
  </sheetData>
  <autoFilter ref="B1:E105" xr:uid="{AE03474D-ECB9-4232-9E71-146AD68EA4F0}">
    <filterColumn colId="3">
      <filters>
        <dateGroupItem year="2026" month="8" day="10" dateTimeGrouping="day"/>
        <dateGroupItem year="2026" month="8" day="13" dateTimeGrouping="day"/>
        <dateGroupItem year="2026" month="8" day="14" dateTimeGrouping="day"/>
        <dateGroupItem year="2026" month="8" day="18" dateTimeGrouping="day"/>
        <dateGroupItem year="2026" month="8" day="20" dateTimeGrouping="day"/>
        <dateGroupItem year="2026" month="8" day="21" dateTimeGrouping="day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EC4BB-95F0-4129-8C0A-2B3E5BB35379}">
  <dimension ref="A1:M13"/>
  <sheetViews>
    <sheetView tabSelected="1" workbookViewId="0">
      <selection sqref="A1:M13"/>
    </sheetView>
  </sheetViews>
  <sheetFormatPr baseColWidth="10" defaultRowHeight="15" x14ac:dyDescent="0.25"/>
  <sheetData>
    <row r="1" spans="1:13" x14ac:dyDescent="0.25">
      <c r="A1" s="35" t="s">
        <v>0</v>
      </c>
      <c r="B1" s="36" t="s">
        <v>34</v>
      </c>
      <c r="C1" s="36" t="s">
        <v>35</v>
      </c>
      <c r="D1" s="36" t="s">
        <v>36</v>
      </c>
      <c r="E1" s="37"/>
      <c r="F1" s="37"/>
      <c r="G1" s="37"/>
      <c r="H1" s="37"/>
      <c r="I1" s="37"/>
      <c r="J1" s="37"/>
      <c r="K1" s="37"/>
      <c r="L1" s="37"/>
      <c r="M1" s="37"/>
    </row>
    <row r="2" spans="1:13" ht="15.75" x14ac:dyDescent="0.25">
      <c r="A2" s="38"/>
      <c r="B2" s="39" t="s">
        <v>37</v>
      </c>
      <c r="C2" s="39" t="s">
        <v>38</v>
      </c>
      <c r="D2" s="39" t="s">
        <v>29</v>
      </c>
      <c r="E2" s="40" t="s">
        <v>30</v>
      </c>
      <c r="F2" s="40" t="s">
        <v>39</v>
      </c>
      <c r="G2" s="40" t="s">
        <v>40</v>
      </c>
      <c r="H2" s="40" t="s">
        <v>41</v>
      </c>
      <c r="I2" s="40" t="s">
        <v>42</v>
      </c>
      <c r="J2" s="40" t="s">
        <v>43</v>
      </c>
      <c r="K2" s="40" t="s">
        <v>44</v>
      </c>
      <c r="L2" s="40" t="s">
        <v>45</v>
      </c>
      <c r="M2" s="40" t="s">
        <v>46</v>
      </c>
    </row>
    <row r="3" spans="1:13" ht="15.75" x14ac:dyDescent="0.25">
      <c r="A3" s="41" t="s">
        <v>47</v>
      </c>
      <c r="B3" s="42" t="s">
        <v>48</v>
      </c>
      <c r="C3" s="43">
        <v>100</v>
      </c>
      <c r="D3" s="43">
        <v>100</v>
      </c>
      <c r="E3" s="44">
        <v>100</v>
      </c>
      <c r="F3" s="44">
        <v>100</v>
      </c>
      <c r="G3" s="44">
        <v>100</v>
      </c>
      <c r="H3" s="44">
        <v>100</v>
      </c>
      <c r="I3" s="44">
        <v>100</v>
      </c>
      <c r="J3" s="44">
        <v>100</v>
      </c>
      <c r="K3" s="44">
        <v>100</v>
      </c>
      <c r="L3" s="44">
        <v>100</v>
      </c>
      <c r="M3" s="44">
        <v>100</v>
      </c>
    </row>
    <row r="4" spans="1:13" ht="15.75" x14ac:dyDescent="0.25">
      <c r="A4" s="41"/>
      <c r="B4" s="42" t="s">
        <v>49</v>
      </c>
      <c r="C4" s="43">
        <f>86+10</f>
        <v>96</v>
      </c>
      <c r="D4" s="43">
        <f>36+40</f>
        <v>76</v>
      </c>
      <c r="E4" s="44"/>
      <c r="F4" s="44"/>
      <c r="G4" s="44"/>
      <c r="H4" s="44"/>
      <c r="I4" s="44"/>
      <c r="J4" s="44"/>
      <c r="K4" s="44"/>
      <c r="L4" s="44"/>
      <c r="M4" s="44"/>
    </row>
    <row r="5" spans="1:13" ht="15.75" x14ac:dyDescent="0.25">
      <c r="A5" s="41"/>
      <c r="B5" s="42" t="s">
        <v>50</v>
      </c>
      <c r="C5" s="43">
        <f>C4-C3</f>
        <v>-4</v>
      </c>
      <c r="D5" s="43">
        <f>D4-D3</f>
        <v>-24</v>
      </c>
      <c r="E5" s="44"/>
      <c r="F5" s="44"/>
      <c r="G5" s="44"/>
      <c r="H5" s="44"/>
      <c r="I5" s="44"/>
      <c r="J5" s="44"/>
      <c r="K5" s="44"/>
      <c r="L5" s="44"/>
      <c r="M5" s="44"/>
    </row>
    <row r="6" spans="1:13" ht="15.75" x14ac:dyDescent="0.25">
      <c r="A6" s="41" t="s">
        <v>51</v>
      </c>
      <c r="B6" s="45" t="s">
        <v>48</v>
      </c>
      <c r="C6" s="46">
        <v>70</v>
      </c>
      <c r="D6" s="46">
        <v>70</v>
      </c>
      <c r="E6" s="47">
        <v>70</v>
      </c>
      <c r="F6" s="47">
        <v>70</v>
      </c>
      <c r="G6" s="47">
        <v>70</v>
      </c>
      <c r="H6" s="47">
        <v>70</v>
      </c>
      <c r="I6" s="47">
        <v>70</v>
      </c>
      <c r="J6" s="47">
        <v>70</v>
      </c>
      <c r="K6" s="47">
        <v>70</v>
      </c>
      <c r="L6" s="47">
        <v>70</v>
      </c>
      <c r="M6" s="47">
        <v>70</v>
      </c>
    </row>
    <row r="7" spans="1:13" ht="15.75" x14ac:dyDescent="0.25">
      <c r="A7" s="41"/>
      <c r="B7" s="45" t="s">
        <v>49</v>
      </c>
      <c r="C7" s="46">
        <f>20+34+10</f>
        <v>64</v>
      </c>
      <c r="D7" s="46">
        <f>23+23</f>
        <v>46</v>
      </c>
      <c r="E7" s="47"/>
      <c r="F7" s="47"/>
      <c r="G7" s="47"/>
      <c r="H7" s="47"/>
      <c r="I7" s="47"/>
      <c r="J7" s="47"/>
      <c r="K7" s="47"/>
      <c r="L7" s="47"/>
      <c r="M7" s="47"/>
    </row>
    <row r="8" spans="1:13" ht="15.75" x14ac:dyDescent="0.25">
      <c r="A8" s="41"/>
      <c r="B8" s="45" t="s">
        <v>50</v>
      </c>
      <c r="C8" s="46">
        <f>C7-C6</f>
        <v>-6</v>
      </c>
      <c r="D8" s="46">
        <f>D7-D6</f>
        <v>-24</v>
      </c>
      <c r="E8" s="47"/>
      <c r="F8" s="47"/>
      <c r="G8" s="47"/>
      <c r="H8" s="47"/>
      <c r="I8" s="47"/>
      <c r="J8" s="47"/>
      <c r="K8" s="47"/>
      <c r="L8" s="47"/>
      <c r="M8" s="47"/>
    </row>
    <row r="9" spans="1:13" ht="15.75" x14ac:dyDescent="0.25">
      <c r="A9" s="41" t="s">
        <v>52</v>
      </c>
      <c r="B9" s="48" t="s">
        <v>48</v>
      </c>
      <c r="C9" s="49">
        <v>20</v>
      </c>
      <c r="D9" s="49">
        <v>20</v>
      </c>
      <c r="E9" s="50">
        <v>30</v>
      </c>
      <c r="F9" s="50">
        <v>20</v>
      </c>
      <c r="G9" s="50">
        <v>20</v>
      </c>
      <c r="H9" s="50">
        <v>20</v>
      </c>
      <c r="I9" s="50">
        <v>20</v>
      </c>
      <c r="J9" s="50">
        <v>20</v>
      </c>
      <c r="K9" s="50">
        <v>20</v>
      </c>
      <c r="L9" s="50">
        <v>20</v>
      </c>
      <c r="M9" s="50">
        <v>20</v>
      </c>
    </row>
    <row r="10" spans="1:13" ht="15.75" x14ac:dyDescent="0.25">
      <c r="A10" s="41"/>
      <c r="B10" s="48" t="s">
        <v>49</v>
      </c>
      <c r="C10" s="49">
        <v>21</v>
      </c>
      <c r="D10" s="49">
        <v>0</v>
      </c>
      <c r="E10" s="50"/>
      <c r="F10" s="50"/>
      <c r="G10" s="50"/>
      <c r="H10" s="50"/>
      <c r="I10" s="50"/>
      <c r="J10" s="50"/>
      <c r="K10" s="50"/>
      <c r="L10" s="50"/>
      <c r="M10" s="50"/>
    </row>
    <row r="11" spans="1:13" ht="15.75" x14ac:dyDescent="0.25">
      <c r="A11" s="41"/>
      <c r="B11" s="48" t="s">
        <v>50</v>
      </c>
      <c r="C11" s="49">
        <f>C10-C9</f>
        <v>1</v>
      </c>
      <c r="D11" s="49">
        <v>0</v>
      </c>
      <c r="E11" s="50"/>
      <c r="F11" s="50"/>
      <c r="G11" s="50"/>
      <c r="H11" s="50"/>
      <c r="I11" s="50"/>
      <c r="J11" s="50"/>
      <c r="K11" s="50"/>
      <c r="L11" s="50"/>
      <c r="M11" s="50"/>
    </row>
    <row r="12" spans="1:13" ht="15.75" x14ac:dyDescent="0.25">
      <c r="A12" s="13" t="s">
        <v>53</v>
      </c>
      <c r="B12" s="39" t="s">
        <v>54</v>
      </c>
      <c r="C12" s="39">
        <f>C4+C7+C10</f>
        <v>181</v>
      </c>
      <c r="D12" s="39">
        <v>390</v>
      </c>
      <c r="E12" s="40">
        <v>590</v>
      </c>
      <c r="F12" s="40">
        <v>780</v>
      </c>
      <c r="G12" s="40">
        <v>970</v>
      </c>
      <c r="H12" s="40">
        <v>1140</v>
      </c>
      <c r="I12" s="40">
        <v>1310</v>
      </c>
      <c r="J12" s="40">
        <v>1460</v>
      </c>
      <c r="K12" s="40">
        <v>1610</v>
      </c>
      <c r="L12" s="40">
        <v>1710</v>
      </c>
      <c r="M12" s="40">
        <v>1810</v>
      </c>
    </row>
    <row r="13" spans="1:13" x14ac:dyDescent="0.25">
      <c r="A13" s="32" t="s">
        <v>50</v>
      </c>
      <c r="B13" s="34"/>
      <c r="C13" s="13">
        <f>C11+C8+C5</f>
        <v>-9</v>
      </c>
      <c r="D13" s="13">
        <f>D11+D8+D5</f>
        <v>-48</v>
      </c>
      <c r="E13" s="14"/>
      <c r="F13" s="14"/>
      <c r="G13" s="14"/>
      <c r="H13" s="14"/>
      <c r="I13" s="14"/>
      <c r="J13" s="14"/>
      <c r="K13" s="14"/>
      <c r="L13" s="14"/>
      <c r="M13" s="14"/>
    </row>
  </sheetData>
  <mergeCells count="5">
    <mergeCell ref="A1:A2"/>
    <mergeCell ref="A3:A5"/>
    <mergeCell ref="A6:A8"/>
    <mergeCell ref="A9:A11"/>
    <mergeCell ref="A13:B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E40D-C1EE-4033-B96D-D1DDCF07C65B}">
  <dimension ref="D5:D8"/>
  <sheetViews>
    <sheetView workbookViewId="0">
      <selection activeCell="O20" sqref="O20"/>
    </sheetView>
  </sheetViews>
  <sheetFormatPr baseColWidth="10" defaultRowHeight="15" x14ac:dyDescent="0.25"/>
  <sheetData>
    <row r="5" spans="4:4" ht="77.25" customHeight="1" x14ac:dyDescent="0.25"/>
    <row r="6" spans="4:4" x14ac:dyDescent="0.25">
      <c r="D6" t="s">
        <v>31</v>
      </c>
    </row>
    <row r="7" spans="4:4" x14ac:dyDescent="0.25">
      <c r="D7" t="s">
        <v>32</v>
      </c>
    </row>
    <row r="8" spans="4:4" x14ac:dyDescent="0.25">
      <c r="D8" t="s">
        <v>33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5B658-2F9A-4567-8311-CC129AB33244}">
  <dimension ref="E8:G8"/>
  <sheetViews>
    <sheetView workbookViewId="0">
      <selection activeCell="E7" sqref="E7"/>
    </sheetView>
  </sheetViews>
  <sheetFormatPr baseColWidth="10" defaultRowHeight="15" x14ac:dyDescent="0.25"/>
  <sheetData>
    <row r="8" spans="5:7" x14ac:dyDescent="0.25">
      <c r="E8" t="s">
        <v>28</v>
      </c>
      <c r="F8" t="s">
        <v>29</v>
      </c>
      <c r="G8" t="s"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6DC53-2344-47F0-A7A9-28F0B6361DF0}">
  <dimension ref="A4:H25"/>
  <sheetViews>
    <sheetView zoomScale="207" workbookViewId="0">
      <selection activeCell="F9" sqref="F9:H9"/>
    </sheetView>
  </sheetViews>
  <sheetFormatPr baseColWidth="10" defaultRowHeight="15" x14ac:dyDescent="0.25"/>
  <cols>
    <col min="3" max="3" width="20.42578125" bestFit="1" customWidth="1"/>
    <col min="4" max="4" width="20.5703125" bestFit="1" customWidth="1"/>
  </cols>
  <sheetData>
    <row r="4" spans="1:8" x14ac:dyDescent="0.25">
      <c r="B4" s="31" t="s">
        <v>19</v>
      </c>
      <c r="C4" s="31"/>
      <c r="D4" s="31"/>
      <c r="F4" s="31" t="s">
        <v>24</v>
      </c>
      <c r="G4" s="31"/>
      <c r="H4" s="31"/>
    </row>
    <row r="5" spans="1:8" x14ac:dyDescent="0.25">
      <c r="F5" s="14"/>
      <c r="G5" s="10" t="s">
        <v>25</v>
      </c>
      <c r="H5" s="14"/>
    </row>
    <row r="6" spans="1:8" x14ac:dyDescent="0.25">
      <c r="A6" s="10" t="s">
        <v>22</v>
      </c>
      <c r="B6" s="10" t="s">
        <v>1</v>
      </c>
      <c r="C6" s="10" t="s">
        <v>21</v>
      </c>
      <c r="D6" s="10" t="s">
        <v>20</v>
      </c>
      <c r="F6" s="10" t="s">
        <v>5</v>
      </c>
      <c r="G6" s="14">
        <v>42</v>
      </c>
      <c r="H6" s="14"/>
    </row>
    <row r="7" spans="1:8" x14ac:dyDescent="0.25">
      <c r="A7" s="10" t="s">
        <v>5</v>
      </c>
      <c r="B7" s="10">
        <v>21</v>
      </c>
      <c r="C7" s="12">
        <v>46239</v>
      </c>
      <c r="D7" s="12">
        <v>46246</v>
      </c>
    </row>
    <row r="8" spans="1:8" x14ac:dyDescent="0.25">
      <c r="A8" s="10" t="s">
        <v>6</v>
      </c>
      <c r="B8" s="10">
        <v>52</v>
      </c>
      <c r="C8" s="12">
        <v>46239</v>
      </c>
      <c r="D8" s="12">
        <v>46246</v>
      </c>
      <c r="F8" s="30" t="s">
        <v>26</v>
      </c>
      <c r="G8" s="30"/>
      <c r="H8" s="30"/>
    </row>
    <row r="9" spans="1:8" x14ac:dyDescent="0.25">
      <c r="A9" s="10" t="s">
        <v>23</v>
      </c>
      <c r="B9" s="10">
        <v>14</v>
      </c>
      <c r="C9" s="12">
        <v>46239</v>
      </c>
      <c r="D9" s="12">
        <v>46253</v>
      </c>
      <c r="F9" s="32">
        <v>140</v>
      </c>
      <c r="G9" s="33"/>
      <c r="H9" s="34"/>
    </row>
    <row r="25" spans="7:7" x14ac:dyDescent="0.25">
      <c r="G25">
        <v>612154538</v>
      </c>
    </row>
  </sheetData>
  <mergeCells count="3">
    <mergeCell ref="B4:D4"/>
    <mergeCell ref="F4:H4"/>
    <mergeCell ref="F9:H9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cde0bb8-21e0-4ae3-9906-7ac25165b779}" enabled="1" method="Privileged" siteId="{d852d5cd-724c-4128-8812-ffa5db3f850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integration Usine</vt:lpstr>
      <vt:lpstr>Feuil3</vt:lpstr>
      <vt:lpstr>Feuil2</vt:lpstr>
      <vt:lpstr>Feuil1</vt:lpstr>
      <vt:lpstr>En formation IFMIA</vt:lpstr>
    </vt:vector>
  </TitlesOfParts>
  <Company>STELLANTIS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ACHEHBOUN</dc:creator>
  <cp:lastModifiedBy>NABILA CHNAIDA</cp:lastModifiedBy>
  <dcterms:created xsi:type="dcterms:W3CDTF">2026-08-06T13:22:47Z</dcterms:created>
  <dcterms:modified xsi:type="dcterms:W3CDTF">2026-08-06T13:58:16Z</dcterms:modified>
</cp:coreProperties>
</file>